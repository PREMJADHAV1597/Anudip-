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udip\Day_3\"/>
    </mc:Choice>
  </mc:AlternateContent>
  <xr:revisionPtr revIDLastSave="0" documentId="8_{6806705C-4292-491F-80F8-C7545565E31D}" xr6:coauthVersionLast="47" xr6:coauthVersionMax="47" xr10:uidLastSave="{00000000-0000-0000-0000-000000000000}"/>
  <bookViews>
    <workbookView xWindow="-108" yWindow="-108" windowWidth="23256" windowHeight="13176" xr2:uid="{E939A41C-F406-40F1-83C2-F08289E0D91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" l="1"/>
  <c r="I9" i="1" s="1"/>
  <c r="H16" i="1"/>
  <c r="I16" i="1" s="1"/>
  <c r="H3" i="1"/>
  <c r="I3" i="1" s="1"/>
  <c r="H8" i="1"/>
  <c r="I8" i="1" s="1"/>
  <c r="H7" i="1"/>
  <c r="I7" i="1" s="1"/>
  <c r="H14" i="1"/>
  <c r="I14" i="1" s="1"/>
  <c r="H6" i="1"/>
  <c r="I6" i="1" s="1"/>
  <c r="H15" i="1"/>
  <c r="I15" i="1" s="1"/>
  <c r="H2" i="1"/>
  <c r="I2" i="1" s="1"/>
  <c r="H10" i="1"/>
  <c r="I10" i="1" s="1"/>
  <c r="H12" i="1"/>
  <c r="I12" i="1" s="1"/>
  <c r="H11" i="1"/>
  <c r="I11" i="1" s="1"/>
  <c r="H13" i="1"/>
  <c r="I13" i="1" s="1"/>
  <c r="H5" i="1"/>
  <c r="I5" i="1" s="1"/>
  <c r="H4" i="1"/>
  <c r="I4" i="1" s="1"/>
  <c r="G9" i="1"/>
  <c r="G16" i="1"/>
  <c r="G3" i="1"/>
  <c r="G8" i="1"/>
  <c r="G7" i="1"/>
  <c r="G14" i="1"/>
  <c r="G6" i="1"/>
  <c r="G15" i="1"/>
  <c r="G2" i="1"/>
  <c r="G10" i="1"/>
  <c r="G12" i="1"/>
  <c r="G11" i="1"/>
  <c r="G13" i="1"/>
  <c r="G5" i="1"/>
  <c r="G4" i="1"/>
  <c r="F9" i="1"/>
  <c r="F16" i="1"/>
  <c r="F3" i="1"/>
  <c r="F8" i="1"/>
  <c r="F7" i="1"/>
  <c r="F14" i="1"/>
  <c r="F6" i="1"/>
  <c r="F15" i="1"/>
  <c r="F2" i="1"/>
  <c r="F10" i="1"/>
  <c r="F12" i="1"/>
  <c r="F11" i="1"/>
  <c r="F13" i="1"/>
  <c r="F5" i="1"/>
  <c r="F4" i="1"/>
</calcChain>
</file>

<file path=xl/sharedStrings.xml><?xml version="1.0" encoding="utf-8"?>
<sst xmlns="http://schemas.openxmlformats.org/spreadsheetml/2006/main" count="83" uniqueCount="49">
  <si>
    <t>TransID</t>
  </si>
  <si>
    <t>Date</t>
  </si>
  <si>
    <t>RepID</t>
  </si>
  <si>
    <t>ProductID</t>
  </si>
  <si>
    <t>Qty</t>
  </si>
  <si>
    <t>TX-1001</t>
  </si>
  <si>
    <t>R-001</t>
  </si>
  <si>
    <t>P-500</t>
  </si>
  <si>
    <t>TX-1002</t>
  </si>
  <si>
    <t>R-002</t>
  </si>
  <si>
    <t>P-505</t>
  </si>
  <si>
    <t>TX-1003</t>
  </si>
  <si>
    <t>R-003</t>
  </si>
  <si>
    <t>TX-1004</t>
  </si>
  <si>
    <t>P-502</t>
  </si>
  <si>
    <t>TX-1005</t>
  </si>
  <si>
    <t>R-004</t>
  </si>
  <si>
    <t>TX-1006</t>
  </si>
  <si>
    <t>P-501</t>
  </si>
  <si>
    <t>TX-1007</t>
  </si>
  <si>
    <t>TX-1008</t>
  </si>
  <si>
    <t>R-005</t>
  </si>
  <si>
    <t>TX-1009</t>
  </si>
  <si>
    <t>TX-1010</t>
  </si>
  <si>
    <t>TX-1011</t>
  </si>
  <si>
    <t>TX-1012</t>
  </si>
  <si>
    <t>TX-1013</t>
  </si>
  <si>
    <t>TX-1014</t>
  </si>
  <si>
    <t>TX-1015</t>
  </si>
  <si>
    <t>RepName</t>
  </si>
  <si>
    <t>Region</t>
  </si>
  <si>
    <t>Alice Smith</t>
  </si>
  <si>
    <t>North</t>
  </si>
  <si>
    <t>Bob Jones</t>
  </si>
  <si>
    <t>South</t>
  </si>
  <si>
    <t xml:space="preserve">R-003 </t>
  </si>
  <si>
    <t>Charlie Day</t>
  </si>
  <si>
    <t>East</t>
  </si>
  <si>
    <t>Diana Prince</t>
  </si>
  <si>
    <t>West</t>
  </si>
  <si>
    <t>Ethan Hunt</t>
  </si>
  <si>
    <t>ProductName</t>
  </si>
  <si>
    <t>UnitPrice</t>
  </si>
  <si>
    <t>Pro Widget</t>
  </si>
  <si>
    <t>Mega Gadget</t>
  </si>
  <si>
    <t>Ultra Gizmo</t>
  </si>
  <si>
    <t>Power Pack</t>
  </si>
  <si>
    <t xml:space="preserve">Unit Price 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</si>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</sst>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7" xfId="0" applyBorder="1"/>
    <xf numFmtId="14" fontId="0" fillId="0" borderId="8" xfId="0" applyNumberFormat="1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9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568960</xdr:colOff>
      <xdr:row>2</xdr:row>
      <xdr:rowOff>55880</xdr:rowOff>
    </xdr:from>
    <xdr:to>
      <xdr:col>18</xdr:col>
      <xdr:colOff>346710</xdr:colOff>
      <xdr:row>14</xdr:row>
      <xdr:rowOff>175260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BFE984B-4B62-4351-B097-96FE4A939B6E}"/>
            </a:ext>
          </a:extLst>
        </xdr:cNvPr>
        <xdr:cNvSpPr txBox="1"/>
      </xdr:nvSpPr>
      <xdr:spPr>
        <a:xfrm>
          <a:off x="6931660" y="421640"/>
          <a:ext cx="4654550" cy="23139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1. The Scenario</a:t>
          </a:r>
        </a:p>
        <a:p>
          <a:r>
            <a:rPr lang="en-IN"/>
            <a:t>"You are the MIS Lead. You have 3 files from 3 different departments. The CEO wants to know: </a:t>
          </a:r>
          <a:r>
            <a:rPr lang="en-IN" b="1"/>
            <a:t>'Who is our top sales rep by revenue, and what region are they in?'</a:t>
          </a:r>
          <a:r>
            <a:rPr lang="en-IN"/>
            <a:t>"</a:t>
          </a:r>
        </a:p>
        <a:p>
          <a:r>
            <a:rPr lang="en-IN" b="1"/>
            <a:t>2. The Assets (Setup Required)</a:t>
          </a:r>
        </a:p>
        <a:p>
          <a:r>
            <a:rPr lang="en-IN" b="1"/>
            <a:t>Sheet 1 (Transactions):</a:t>
          </a:r>
          <a:r>
            <a:rPr lang="en-IN"/>
            <a:t> TransID, Date, RepID, ProductID, Qty.</a:t>
          </a:r>
        </a:p>
        <a:p>
          <a:r>
            <a:rPr lang="en-IN" b="1"/>
            <a:t>Sheet 2 (Reps):</a:t>
          </a:r>
          <a:r>
            <a:rPr lang="en-IN"/>
            <a:t> RepID, RepName, Region.</a:t>
          </a:r>
        </a:p>
        <a:p>
          <a:r>
            <a:rPr lang="en-IN" b="1"/>
            <a:t>Sheet 3 (Products):</a:t>
          </a:r>
          <a:r>
            <a:rPr lang="en-IN"/>
            <a:t> ProductID, ProductName, UnitPrice.</a:t>
          </a:r>
        </a:p>
        <a:p>
          <a:r>
            <a:rPr lang="en-IN" b="1"/>
            <a:t>3. The Task</a:t>
          </a:r>
        </a:p>
        <a:p>
          <a:r>
            <a:rPr lang="en-IN" b="1"/>
            <a:t>Step 1:</a:t>
          </a:r>
          <a:r>
            <a:rPr lang="en-IN"/>
            <a:t> In the "Transactions" sheet, bring in RepName and Region using </a:t>
          </a:r>
          <a:r>
            <a:rPr lang="en-IN" b="1"/>
            <a:t>XLOOKUP</a:t>
          </a:r>
          <a:r>
            <a:rPr lang="en-IN"/>
            <a:t> (Show off the modern skill).</a:t>
          </a:r>
        </a:p>
        <a:p>
          <a:r>
            <a:rPr lang="en-IN" b="1"/>
            <a:t>Step 2:</a:t>
          </a:r>
          <a:r>
            <a:rPr lang="en-IN"/>
            <a:t> Bring in UnitPrice (from Sheet 3).</a:t>
          </a:r>
        </a:p>
        <a:p>
          <a:r>
            <a:rPr lang="en-IN" b="1"/>
            <a:t>Step 3:</a:t>
          </a:r>
          <a:r>
            <a:rPr lang="en-IN"/>
            <a:t> Calculate Total Revenue (Qty * UnitPrice).</a:t>
          </a:r>
        </a:p>
        <a:p>
          <a:endParaRPr lang="en-IN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147CB3-85CB-407C-B6C9-EA028781E32E}" name="Table1" displayName="Table1" ref="A1:I16" totalsRowShown="0" headerRowDxfId="0" headerRowBorderDxfId="11" tableBorderDxfId="12" totalsRowBorderDxfId="10">
  <autoFilter ref="A1:I16" xr:uid="{C3147CB3-85CB-407C-B6C9-EA028781E32E}"/>
  <sortState xmlns:xlrd2="http://schemas.microsoft.com/office/spreadsheetml/2017/richdata2" ref="A2:I16">
    <sortCondition descending="1" ref="I1:I16"/>
  </sortState>
  <tableColumns count="9">
    <tableColumn id="1" xr3:uid="{0705E0A4-7920-4D6E-B9D2-E62FE056281F}" name="TransID" dataDxfId="9"/>
    <tableColumn id="2" xr3:uid="{36FBF50E-30B1-4B15-B0E7-3F4F2B39CB1B}" name="Date" dataDxfId="8"/>
    <tableColumn id="3" xr3:uid="{3CCEB222-B11C-4CC5-9035-DB31770DB1FD}" name="RepID" dataDxfId="7"/>
    <tableColumn id="4" xr3:uid="{A3CE0426-D39D-478C-AD0C-543988E73511}" name="ProductID" dataDxfId="6"/>
    <tableColumn id="5" xr3:uid="{DC61A610-D693-40CC-9DAD-2BB74696F46C}" name="Qty" dataDxfId="5"/>
    <tableColumn id="6" xr3:uid="{A61A2CC4-C7CE-4E16-9DB8-6A9DF1E69EB2}" name="RepName" dataDxfId="4">
      <calculatedColumnFormula>_xlfn.XLOOKUP(Sheet1!C2,Sheet2!$A$2:$A$6,Sheet2!$B$2:$B$6,"Not Found",0)</calculatedColumnFormula>
    </tableColumn>
    <tableColumn id="7" xr3:uid="{0ED447D8-03C4-4519-A616-113A735AE86A}" name="Region" dataDxfId="3">
      <calculatedColumnFormula>_xlfn.XLOOKUP(Sheet1!C2,Sheet2!$A$2:$A$6,Sheet2!$C$2:$C$6,"Not Found",0,)</calculatedColumnFormula>
    </tableColumn>
    <tableColumn id="8" xr3:uid="{156E1FF1-1BDD-41E9-BBBC-20C4565D15C6}" name="Unit Price " dataDxfId="2">
      <calculatedColumnFormula>_xlfn.XLOOKUP(Sheet1!D2,Sheet3!$A$2:$A$5,Sheet3!$C$2:$C$5,"Not Found",0,)</calculatedColumnFormula>
    </tableColumn>
    <tableColumn id="9" xr3:uid="{C2168632-C1E2-4007-85A0-3B0804B074FC}" name="Total Revenue" dataDxfId="1">
      <calculatedColumnFormula>H2*E2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40EEF-9E77-4964-800C-4A7F322E9C58}">
  <dimension ref="A1:I16"/>
  <sheetViews>
    <sheetView tabSelected="1" workbookViewId="0">
      <selection activeCell="G31" sqref="G31"/>
    </sheetView>
  </sheetViews>
  <sheetFormatPr defaultRowHeight="14.4" x14ac:dyDescent="0.3"/>
  <cols>
    <col min="1" max="1" width="9.21875" customWidth="1"/>
    <col min="2" max="2" width="10.5546875" bestFit="1" customWidth="1"/>
    <col min="4" max="4" width="11.33203125" customWidth="1"/>
    <col min="6" max="6" width="11.109375" bestFit="1" customWidth="1"/>
    <col min="8" max="8" width="11.44140625" customWidth="1"/>
    <col min="9" max="9" width="14.88671875" customWidth="1"/>
  </cols>
  <sheetData>
    <row r="1" spans="1:9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29</v>
      </c>
      <c r="G1" s="6" t="s">
        <v>30</v>
      </c>
      <c r="H1" s="6" t="s">
        <v>47</v>
      </c>
      <c r="I1" s="7" t="s">
        <v>48</v>
      </c>
    </row>
    <row r="2" spans="1:9" x14ac:dyDescent="0.3">
      <c r="A2" s="3" t="s">
        <v>23</v>
      </c>
      <c r="B2" s="2">
        <v>45236</v>
      </c>
      <c r="C2" s="1" t="s">
        <v>16</v>
      </c>
      <c r="D2" s="1" t="s">
        <v>18</v>
      </c>
      <c r="E2" s="1">
        <v>8</v>
      </c>
      <c r="F2" s="1" t="str">
        <f>_xlfn.XLOOKUP(Sheet1!C11,Sheet2!$A$2:$A$6,Sheet2!$B$2:$B$6,"Not Found",0)</f>
        <v>Not Found</v>
      </c>
      <c r="G2" s="1" t="str">
        <f>_xlfn.XLOOKUP(Sheet1!C11,Sheet2!$A$2:$A$6,Sheet2!$C$2:$C$6,"Not Found",0,)</f>
        <v>Not Found</v>
      </c>
      <c r="H2" s="1">
        <f>_xlfn.XLOOKUP(Sheet1!D11,Sheet3!$A$2:$A$5,Sheet3!$C$2:$C$5,"Not Found",0,)</f>
        <v>30</v>
      </c>
      <c r="I2" s="4">
        <f>H2*E2</f>
        <v>240</v>
      </c>
    </row>
    <row r="3" spans="1:9" x14ac:dyDescent="0.3">
      <c r="A3" s="3" t="s">
        <v>13</v>
      </c>
      <c r="B3" s="2">
        <v>45232</v>
      </c>
      <c r="C3" s="1" t="s">
        <v>6</v>
      </c>
      <c r="D3" s="1" t="s">
        <v>14</v>
      </c>
      <c r="E3" s="1">
        <v>10</v>
      </c>
      <c r="F3" s="1" t="str">
        <f>_xlfn.XLOOKUP(Sheet1!C5,Sheet2!$A$2:$A$6,Sheet2!$B$2:$B$6,"Not Found",0)</f>
        <v>Diana Prince</v>
      </c>
      <c r="G3" s="1" t="str">
        <f>_xlfn.XLOOKUP(Sheet1!C5,Sheet2!$A$2:$A$6,Sheet2!$C$2:$C$6,"Not Found",0,)</f>
        <v>West</v>
      </c>
      <c r="H3" s="1">
        <f>_xlfn.XLOOKUP(Sheet1!D5,Sheet3!$A$2:$A$5,Sheet3!$C$2:$C$5,"Not Found",0,)</f>
        <v>15</v>
      </c>
      <c r="I3" s="4">
        <f>H3*E3</f>
        <v>150</v>
      </c>
    </row>
    <row r="4" spans="1:9" x14ac:dyDescent="0.3">
      <c r="A4" s="3" t="s">
        <v>5</v>
      </c>
      <c r="B4" s="2">
        <v>45231</v>
      </c>
      <c r="C4" s="1" t="s">
        <v>6</v>
      </c>
      <c r="D4" s="1" t="s">
        <v>7</v>
      </c>
      <c r="E4" s="1">
        <v>5</v>
      </c>
      <c r="F4" s="1" t="str">
        <f>_xlfn.XLOOKUP(Sheet1!C2,Sheet2!$A$2:$A$6,Sheet2!$B$2:$B$6,"Not Found",0)</f>
        <v>Diana Prince</v>
      </c>
      <c r="G4" s="1" t="str">
        <f>_xlfn.XLOOKUP(Sheet1!C2,Sheet2!$A$2:$A$6,Sheet2!$C$2:$C$6,"Not Found",0,)</f>
        <v>West</v>
      </c>
      <c r="H4" s="1">
        <f>_xlfn.XLOOKUP(Sheet1!D2,Sheet3!$A$2:$A$5,Sheet3!$C$2:$C$5,"Not Found",0,)</f>
        <v>45</v>
      </c>
      <c r="I4" s="4">
        <f>H4*E4</f>
        <v>225</v>
      </c>
    </row>
    <row r="5" spans="1:9" x14ac:dyDescent="0.3">
      <c r="A5" s="3" t="s">
        <v>28</v>
      </c>
      <c r="B5" s="2">
        <v>45238</v>
      </c>
      <c r="C5" s="1" t="s">
        <v>16</v>
      </c>
      <c r="D5" s="1" t="s">
        <v>14</v>
      </c>
      <c r="E5" s="1">
        <v>7</v>
      </c>
      <c r="F5" s="1" t="str">
        <f>_xlfn.XLOOKUP(Sheet1!C16,Sheet2!$A$2:$A$6,Sheet2!$B$2:$B$6,"Not Found",0)</f>
        <v>Not Found</v>
      </c>
      <c r="G5" s="1" t="str">
        <f>_xlfn.XLOOKUP(Sheet1!C16,Sheet2!$A$2:$A$6,Sheet2!$C$2:$C$6,"Not Found",0,)</f>
        <v>Not Found</v>
      </c>
      <c r="H5" s="1">
        <f>_xlfn.XLOOKUP(Sheet1!D16,Sheet3!$A$2:$A$5,Sheet3!$C$2:$C$5,"Not Found",0,)</f>
        <v>25</v>
      </c>
      <c r="I5" s="4">
        <f>H5*E5</f>
        <v>175</v>
      </c>
    </row>
    <row r="6" spans="1:9" x14ac:dyDescent="0.3">
      <c r="A6" s="3" t="s">
        <v>20</v>
      </c>
      <c r="B6" s="2">
        <v>45235</v>
      </c>
      <c r="C6" s="1" t="s">
        <v>21</v>
      </c>
      <c r="D6" s="1" t="s">
        <v>7</v>
      </c>
      <c r="E6" s="1">
        <v>6</v>
      </c>
      <c r="F6" s="1" t="str">
        <f>_xlfn.XLOOKUP(Sheet1!C9,Sheet2!$A$2:$A$6,Sheet2!$B$2:$B$6,"Not Found",0)</f>
        <v>Bob Jones</v>
      </c>
      <c r="G6" s="1" t="str">
        <f>_xlfn.XLOOKUP(Sheet1!C9,Sheet2!$A$2:$A$6,Sheet2!$C$2:$C$6,"Not Found",0,)</f>
        <v>South</v>
      </c>
      <c r="H6" s="1">
        <f>_xlfn.XLOOKUP(Sheet1!D9,Sheet3!$A$2:$A$5,Sheet3!$C$2:$C$5,"Not Found",0,)</f>
        <v>30</v>
      </c>
      <c r="I6" s="4">
        <f>H6*E6</f>
        <v>180</v>
      </c>
    </row>
    <row r="7" spans="1:9" x14ac:dyDescent="0.3">
      <c r="A7" s="3" t="s">
        <v>17</v>
      </c>
      <c r="B7" s="2">
        <v>45233</v>
      </c>
      <c r="C7" s="1" t="s">
        <v>9</v>
      </c>
      <c r="D7" s="1" t="s">
        <v>18</v>
      </c>
      <c r="E7" s="1">
        <v>4</v>
      </c>
      <c r="F7" s="1" t="str">
        <f>_xlfn.XLOOKUP(Sheet1!C7,Sheet2!$A$2:$A$6,Sheet2!$B$2:$B$6,"Not Found",0)</f>
        <v>Bob Jones</v>
      </c>
      <c r="G7" s="1" t="str">
        <f>_xlfn.XLOOKUP(Sheet1!C7,Sheet2!$A$2:$A$6,Sheet2!$C$2:$C$6,"Not Found",0,)</f>
        <v>South</v>
      </c>
      <c r="H7" s="1">
        <f>_xlfn.XLOOKUP(Sheet1!D7,Sheet3!$A$2:$A$5,Sheet3!$C$2:$C$5,"Not Found",0,)</f>
        <v>45</v>
      </c>
      <c r="I7" s="4">
        <f>H7*E7</f>
        <v>180</v>
      </c>
    </row>
    <row r="8" spans="1:9" x14ac:dyDescent="0.3">
      <c r="A8" s="3" t="s">
        <v>15</v>
      </c>
      <c r="B8" s="2">
        <v>45233</v>
      </c>
      <c r="C8" s="1" t="s">
        <v>16</v>
      </c>
      <c r="D8" s="1" t="s">
        <v>10</v>
      </c>
      <c r="E8" s="1">
        <v>3</v>
      </c>
      <c r="F8" s="1" t="str">
        <f>_xlfn.XLOOKUP(Sheet1!C6,Sheet2!$A$2:$A$6,Sheet2!$B$2:$B$6,"Not Found",0)</f>
        <v>Ethan Hunt</v>
      </c>
      <c r="G8" s="1" t="str">
        <f>_xlfn.XLOOKUP(Sheet1!C6,Sheet2!$A$2:$A$6,Sheet2!$C$2:$C$6,"Not Found",0,)</f>
        <v>North</v>
      </c>
      <c r="H8" s="1">
        <f>_xlfn.XLOOKUP(Sheet1!D6,Sheet3!$A$2:$A$5,Sheet3!$C$2:$C$5,"Not Found",0,)</f>
        <v>25</v>
      </c>
      <c r="I8" s="4">
        <f>H8*E8</f>
        <v>75</v>
      </c>
    </row>
    <row r="9" spans="1:9" x14ac:dyDescent="0.3">
      <c r="A9" s="3" t="s">
        <v>8</v>
      </c>
      <c r="B9" s="2">
        <v>45231</v>
      </c>
      <c r="C9" s="1" t="s">
        <v>9</v>
      </c>
      <c r="D9" s="1" t="s">
        <v>10</v>
      </c>
      <c r="E9" s="1">
        <v>2</v>
      </c>
      <c r="F9" s="1" t="str">
        <f>_xlfn.XLOOKUP(Sheet1!C3,Sheet2!$A$2:$A$6,Sheet2!$B$2:$B$6,"Not Found",0)</f>
        <v>Alice Smith</v>
      </c>
      <c r="G9" s="1" t="str">
        <f>_xlfn.XLOOKUP(Sheet1!C3,Sheet2!$A$2:$A$6,Sheet2!$C$2:$C$6,"Not Found",0,)</f>
        <v>North</v>
      </c>
      <c r="H9" s="1">
        <f>_xlfn.XLOOKUP(Sheet1!D3,Sheet3!$A$2:$A$5,Sheet3!$C$2:$C$5,"Not Found",0,)</f>
        <v>15</v>
      </c>
      <c r="I9" s="4">
        <f>H9*E9</f>
        <v>30</v>
      </c>
    </row>
    <row r="10" spans="1:9" x14ac:dyDescent="0.3">
      <c r="A10" s="3" t="s">
        <v>24</v>
      </c>
      <c r="B10" s="2">
        <v>45236</v>
      </c>
      <c r="C10" s="1" t="s">
        <v>21</v>
      </c>
      <c r="D10" s="1" t="s">
        <v>14</v>
      </c>
      <c r="E10" s="1">
        <v>3</v>
      </c>
      <c r="F10" s="1" t="str">
        <f>_xlfn.XLOOKUP(Sheet1!C12,Sheet2!$A$2:$A$6,Sheet2!$B$2:$B$6,"Not Found",0)</f>
        <v>Bob Jones</v>
      </c>
      <c r="G10" s="1" t="str">
        <f>_xlfn.XLOOKUP(Sheet1!C12,Sheet2!$A$2:$A$6,Sheet2!$C$2:$C$6,"Not Found",0,)</f>
        <v>South</v>
      </c>
      <c r="H10" s="1">
        <f>_xlfn.XLOOKUP(Sheet1!D12,Sheet3!$A$2:$A$5,Sheet3!$C$2:$C$5,"Not Found",0,)</f>
        <v>25</v>
      </c>
      <c r="I10" s="4">
        <f>H10*E10</f>
        <v>75</v>
      </c>
    </row>
    <row r="11" spans="1:9" x14ac:dyDescent="0.3">
      <c r="A11" s="3" t="s">
        <v>26</v>
      </c>
      <c r="B11" s="2">
        <v>45237</v>
      </c>
      <c r="C11" s="1" t="s">
        <v>12</v>
      </c>
      <c r="D11" s="1" t="s">
        <v>10</v>
      </c>
      <c r="E11" s="1">
        <v>5</v>
      </c>
      <c r="F11" s="1" t="str">
        <f>_xlfn.XLOOKUP(Sheet1!C14,Sheet2!$A$2:$A$6,Sheet2!$B$2:$B$6,"Not Found",0)</f>
        <v>Not Found</v>
      </c>
      <c r="G11" s="1" t="str">
        <f>_xlfn.XLOOKUP(Sheet1!C14,Sheet2!$A$2:$A$6,Sheet2!$C$2:$C$6,"Not Found",0,)</f>
        <v>Not Found</v>
      </c>
      <c r="H11" s="1">
        <f>_xlfn.XLOOKUP(Sheet1!D14,Sheet3!$A$2:$A$5,Sheet3!$C$2:$C$5,"Not Found",0,)</f>
        <v>15</v>
      </c>
      <c r="I11" s="4">
        <f>H11*E11</f>
        <v>75</v>
      </c>
    </row>
    <row r="12" spans="1:9" x14ac:dyDescent="0.3">
      <c r="A12" s="3" t="s">
        <v>25</v>
      </c>
      <c r="B12" s="2">
        <v>45237</v>
      </c>
      <c r="C12" s="1" t="s">
        <v>9</v>
      </c>
      <c r="D12" s="1" t="s">
        <v>7</v>
      </c>
      <c r="E12" s="1">
        <v>4</v>
      </c>
      <c r="F12" s="1" t="str">
        <f>_xlfn.XLOOKUP(Sheet1!C13,Sheet2!$A$2:$A$6,Sheet2!$B$2:$B$6,"Not Found",0)</f>
        <v>Alice Smith</v>
      </c>
      <c r="G12" s="1" t="str">
        <f>_xlfn.XLOOKUP(Sheet1!C13,Sheet2!$A$2:$A$6,Sheet2!$C$2:$C$6,"Not Found",0,)</f>
        <v>North</v>
      </c>
      <c r="H12" s="1">
        <f>_xlfn.XLOOKUP(Sheet1!D13,Sheet3!$A$2:$A$5,Sheet3!$C$2:$C$5,"Not Found",0,)</f>
        <v>45</v>
      </c>
      <c r="I12" s="4">
        <f>H12*E12</f>
        <v>180</v>
      </c>
    </row>
    <row r="13" spans="1:9" x14ac:dyDescent="0.3">
      <c r="A13" s="3" t="s">
        <v>27</v>
      </c>
      <c r="B13" s="2">
        <v>45238</v>
      </c>
      <c r="C13" s="1" t="s">
        <v>6</v>
      </c>
      <c r="D13" s="1" t="s">
        <v>18</v>
      </c>
      <c r="E13" s="1">
        <v>2</v>
      </c>
      <c r="F13" s="1" t="str">
        <f>_xlfn.XLOOKUP(Sheet1!C15,Sheet2!$A$2:$A$6,Sheet2!$B$2:$B$6,"Not Found",0)</f>
        <v>Alice Smith</v>
      </c>
      <c r="G13" s="1" t="str">
        <f>_xlfn.XLOOKUP(Sheet1!C15,Sheet2!$A$2:$A$6,Sheet2!$C$2:$C$6,"Not Found",0,)</f>
        <v>North</v>
      </c>
      <c r="H13" s="1">
        <f>_xlfn.XLOOKUP(Sheet1!D15,Sheet3!$A$2:$A$5,Sheet3!$C$2:$C$5,"Not Found",0,)</f>
        <v>30</v>
      </c>
      <c r="I13" s="4">
        <f>H13*E13</f>
        <v>60</v>
      </c>
    </row>
    <row r="14" spans="1:9" x14ac:dyDescent="0.3">
      <c r="A14" s="3" t="s">
        <v>19</v>
      </c>
      <c r="B14" s="2">
        <v>45234</v>
      </c>
      <c r="C14" s="1" t="s">
        <v>12</v>
      </c>
      <c r="D14" s="1" t="s">
        <v>14</v>
      </c>
      <c r="E14" s="1">
        <v>2</v>
      </c>
      <c r="F14" s="1" t="str">
        <f>_xlfn.XLOOKUP(Sheet1!C8,Sheet2!$A$2:$A$6,Sheet2!$B$2:$B$6,"Not Found",0)</f>
        <v>Diana Prince</v>
      </c>
      <c r="G14" s="1" t="str">
        <f>_xlfn.XLOOKUP(Sheet1!C8,Sheet2!$A$2:$A$6,Sheet2!$C$2:$C$6,"Not Found",0,)</f>
        <v>West</v>
      </c>
      <c r="H14" s="1">
        <f>_xlfn.XLOOKUP(Sheet1!D8,Sheet3!$A$2:$A$5,Sheet3!$C$2:$C$5,"Not Found",0,)</f>
        <v>30</v>
      </c>
      <c r="I14" s="4">
        <f>H14*E14</f>
        <v>60</v>
      </c>
    </row>
    <row r="15" spans="1:9" x14ac:dyDescent="0.3">
      <c r="A15" s="3" t="s">
        <v>22</v>
      </c>
      <c r="B15" s="2">
        <v>45235</v>
      </c>
      <c r="C15" s="1" t="s">
        <v>6</v>
      </c>
      <c r="D15" s="1" t="s">
        <v>10</v>
      </c>
      <c r="E15" s="1">
        <v>1</v>
      </c>
      <c r="F15" s="1" t="str">
        <f>_xlfn.XLOOKUP(Sheet1!C10,Sheet2!$A$2:$A$6,Sheet2!$B$2:$B$6,"Not Found",0)</f>
        <v>Ethan Hunt</v>
      </c>
      <c r="G15" s="1" t="str">
        <f>_xlfn.XLOOKUP(Sheet1!C10,Sheet2!$A$2:$A$6,Sheet2!$C$2:$C$6,"Not Found",0,)</f>
        <v>North</v>
      </c>
      <c r="H15" s="1">
        <f>_xlfn.XLOOKUP(Sheet1!D10,Sheet3!$A$2:$A$5,Sheet3!$C$2:$C$5,"Not Found",0,)</f>
        <v>15</v>
      </c>
      <c r="I15" s="4">
        <f>H15*E15</f>
        <v>15</v>
      </c>
    </row>
    <row r="16" spans="1:9" x14ac:dyDescent="0.3">
      <c r="A16" s="8" t="s">
        <v>11</v>
      </c>
      <c r="B16" s="9">
        <v>45232</v>
      </c>
      <c r="C16" s="10" t="s">
        <v>12</v>
      </c>
      <c r="D16" s="10" t="s">
        <v>7</v>
      </c>
      <c r="E16" s="10">
        <v>1</v>
      </c>
      <c r="F16" s="10" t="str">
        <f>_xlfn.XLOOKUP(Sheet1!C4,Sheet2!$A$2:$A$6,Sheet2!$B$2:$B$6,"Not Found",0)</f>
        <v>Alice Smith</v>
      </c>
      <c r="G16" s="10" t="str">
        <f>_xlfn.XLOOKUP(Sheet1!C4,Sheet2!$A$2:$A$6,Sheet2!$C$2:$C$6,"Not Found",0,)</f>
        <v>North</v>
      </c>
      <c r="H16" s="10">
        <f>_xlfn.XLOOKUP(Sheet1!D4,Sheet3!$A$2:$A$5,Sheet3!$C$2:$C$5,"Not Found",0,)</f>
        <v>25</v>
      </c>
      <c r="I16" s="11">
        <f>H16*E16</f>
        <v>25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5F191-DDAF-4DC2-875D-854064FA5B18}">
  <dimension ref="A1:C6"/>
  <sheetViews>
    <sheetView workbookViewId="0">
      <selection sqref="A1:C6"/>
    </sheetView>
  </sheetViews>
  <sheetFormatPr defaultRowHeight="14.4" x14ac:dyDescent="0.3"/>
  <sheetData>
    <row r="1" spans="1:3" x14ac:dyDescent="0.3">
      <c r="A1" t="s">
        <v>2</v>
      </c>
      <c r="B1" t="s">
        <v>29</v>
      </c>
      <c r="C1" t="s">
        <v>30</v>
      </c>
    </row>
    <row r="2" spans="1:3" x14ac:dyDescent="0.3">
      <c r="A2" t="s">
        <v>6</v>
      </c>
      <c r="B2" t="s">
        <v>31</v>
      </c>
      <c r="C2" t="s">
        <v>32</v>
      </c>
    </row>
    <row r="3" spans="1:3" x14ac:dyDescent="0.3">
      <c r="A3" t="s">
        <v>9</v>
      </c>
      <c r="B3" t="s">
        <v>33</v>
      </c>
      <c r="C3" t="s">
        <v>34</v>
      </c>
    </row>
    <row r="4" spans="1:3" x14ac:dyDescent="0.3">
      <c r="A4" t="s">
        <v>35</v>
      </c>
      <c r="B4" t="s">
        <v>36</v>
      </c>
      <c r="C4" t="s">
        <v>37</v>
      </c>
    </row>
    <row r="5" spans="1:3" x14ac:dyDescent="0.3">
      <c r="A5" t="s">
        <v>16</v>
      </c>
      <c r="B5" t="s">
        <v>38</v>
      </c>
      <c r="C5" t="s">
        <v>39</v>
      </c>
    </row>
    <row r="6" spans="1:3" x14ac:dyDescent="0.3">
      <c r="A6" t="s">
        <v>21</v>
      </c>
      <c r="B6" t="s">
        <v>40</v>
      </c>
      <c r="C6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B3520-F2CF-49A6-B2D2-20E5142BFB69}">
  <dimension ref="A1:C5"/>
  <sheetViews>
    <sheetView workbookViewId="0">
      <selection activeCell="C10" sqref="C10"/>
    </sheetView>
  </sheetViews>
  <sheetFormatPr defaultRowHeight="14.4" x14ac:dyDescent="0.3"/>
  <sheetData>
    <row r="1" spans="1:3" x14ac:dyDescent="0.3">
      <c r="A1" t="s">
        <v>3</v>
      </c>
      <c r="B1" t="s">
        <v>41</v>
      </c>
      <c r="C1" t="s">
        <v>42</v>
      </c>
    </row>
    <row r="2" spans="1:3" x14ac:dyDescent="0.3">
      <c r="A2" t="s">
        <v>7</v>
      </c>
      <c r="B2" t="s">
        <v>43</v>
      </c>
      <c r="C2">
        <v>25</v>
      </c>
    </row>
    <row r="3" spans="1:3" x14ac:dyDescent="0.3">
      <c r="A3" t="s">
        <v>18</v>
      </c>
      <c r="B3" t="s">
        <v>44</v>
      </c>
      <c r="C3">
        <v>45</v>
      </c>
    </row>
    <row r="4" spans="1:3" x14ac:dyDescent="0.3">
      <c r="A4" t="s">
        <v>14</v>
      </c>
      <c r="B4" t="s">
        <v>45</v>
      </c>
      <c r="C4">
        <v>15</v>
      </c>
    </row>
    <row r="5" spans="1:3" x14ac:dyDescent="0.3">
      <c r="A5" t="s">
        <v>10</v>
      </c>
      <c r="B5" t="s">
        <v>46</v>
      </c>
      <c r="C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Prem Jadhav</cp:lastModifiedBy>
  <dcterms:created xsi:type="dcterms:W3CDTF">2025-11-30T14:57:35Z</dcterms:created>
  <dcterms:modified xsi:type="dcterms:W3CDTF">2025-12-05T06:28:47Z</dcterms:modified>
</cp:coreProperties>
</file>