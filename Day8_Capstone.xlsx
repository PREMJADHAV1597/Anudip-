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8\"/>
    </mc:Choice>
  </mc:AlternateContent>
  <xr:revisionPtr revIDLastSave="0" documentId="13_ncr:1_{B036EFCD-E48E-4C9F-953B-3C26020B4E06}" xr6:coauthVersionLast="47" xr6:coauthVersionMax="47" xr10:uidLastSave="{00000000-0000-0000-0000-000000000000}"/>
  <bookViews>
    <workbookView xWindow="-108" yWindow="-108" windowWidth="23256" windowHeight="13176" xr2:uid="{F54200AE-5109-461E-BBB4-6B4D3E145252}"/>
  </bookViews>
  <sheets>
    <sheet name="Sheet1" sheetId="1" r:id="rId1"/>
  </sheets>
  <definedNames>
    <definedName name="_xlnm._FilterDatabase" localSheetId="0" hidden="1">Sheet1!$A$19:$B$22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<sst xmlns="http://schemas.openxmlformats.org/spreadsheetml/2006/main" count="70" uniqueCount="41">
  <si>
    <t>,,,,</t>
  </si>
  <si>
    <t>HOLIDAY_TABLE,,,</t>
  </si>
  <si>
    <t>TicketID</t>
  </si>
  <si>
    <t>CreateDate</t>
  </si>
  <si>
    <t>ResolveDate</t>
  </si>
  <si>
    <t>Priority</t>
  </si>
  <si>
    <t>Technician</t>
  </si>
  <si>
    <t>TKT-9001</t>
  </si>
  <si>
    <t>High</t>
  </si>
  <si>
    <t>Dave</t>
  </si>
  <si>
    <t>TKT-9002</t>
  </si>
  <si>
    <t>Low</t>
  </si>
  <si>
    <t>Sarah</t>
  </si>
  <si>
    <t>TKT-9003</t>
  </si>
  <si>
    <t>TKT-9004</t>
  </si>
  <si>
    <t>Mike</t>
  </si>
  <si>
    <t>TKT-9005</t>
  </si>
  <si>
    <t>TKT-9006</t>
  </si>
  <si>
    <t>TKT-9007</t>
  </si>
  <si>
    <t>Medium</t>
  </si>
  <si>
    <t>TKT-9008</t>
  </si>
  <si>
    <t>TKT-9009</t>
  </si>
  <si>
    <t>TKT-9010</t>
  </si>
  <si>
    <t>TKT-9011</t>
  </si>
  <si>
    <t>TKT-9012</t>
  </si>
  <si>
    <t>TKT-9013</t>
  </si>
  <si>
    <t>TKT-9014</t>
  </si>
  <si>
    <t>TKT-9015</t>
  </si>
  <si>
    <t>Holiday_Name</t>
  </si>
  <si>
    <t>Date</t>
  </si>
  <si>
    <t>New Years Day</t>
  </si>
  <si>
    <t>MLK Day</t>
  </si>
  <si>
    <t>Presidents Day</t>
  </si>
  <si>
    <t xml:space="preserve">SLA Deadline </t>
  </si>
  <si>
    <t>Days Taken</t>
  </si>
  <si>
    <t>Status</t>
  </si>
  <si>
    <t>Sum</t>
  </si>
  <si>
    <t>Average</t>
  </si>
  <si>
    <t>Running Total</t>
  </si>
  <si>
    <t>Count</t>
  </si>
  <si>
    <t>Billing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</si>
</sst>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14" fontId="0" fillId="0" borderId="1" xfId="0" applyNumberFormat="1" applyBorder="1"/>
    <xf numFmtId="0" fontId="2" fillId="2" borderId="2" xfId="0" applyFont="1" applyFill="1" applyBorder="1"/>
    <xf numFmtId="2" fontId="0" fillId="0" borderId="1" xfId="0" applyNumberFormat="1" applyBorder="1"/>
    <xf numFmtId="2" fontId="0" fillId="0" borderId="0" xfId="0" applyNumberFormat="1"/>
    <xf numFmtId="1" fontId="2" fillId="2" borderId="2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17"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157480</xdr:colOff>
      <xdr:row>3</xdr:row>
      <xdr:rowOff>80010</xdr:rowOff>
    </xdr:from>
    <xdr:to>
      <xdr:col>23</xdr:col>
      <xdr:colOff>350520</xdr:colOff>
      <xdr:row>42</xdr:row>
      <xdr:rowOff>54610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7611C4-39AD-4FD3-98DD-31890C810CD2}"/>
            </a:ext>
          </a:extLst>
        </xdr:cNvPr>
        <xdr:cNvSpPr txBox="1"/>
      </xdr:nvSpPr>
      <xdr:spPr>
        <a:xfrm>
          <a:off x="7426960" y="628650"/>
          <a:ext cx="8117840" cy="7106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Capstone: "The SLA Breach Report"</a:t>
          </a:r>
        </a:p>
        <a:p>
          <a:r>
            <a:rPr lang="en-IN" b="1"/>
            <a:t>Role:</a:t>
          </a:r>
          <a:r>
            <a:rPr lang="en-IN"/>
            <a:t> Operations Lead for 'Swift Logistics'. </a:t>
          </a:r>
          <a:r>
            <a:rPr lang="en-IN" b="1"/>
            <a:t>Scenario:</a:t>
          </a:r>
          <a:r>
            <a:rPr lang="en-IN"/>
            <a:t> The Client is threatening to leave. They claim we are too slow. Your SLA (Service Level Agreement) states all tickets must be resolved within </a:t>
          </a:r>
          <a:r>
            <a:rPr lang="en-IN" b="1"/>
            <a:t>3 Working Days</a:t>
          </a:r>
          <a:r>
            <a:rPr lang="en-IN"/>
            <a:t>. </a:t>
          </a:r>
          <a:r>
            <a:rPr lang="en-IN" b="1"/>
            <a:t>The Stakes:</a:t>
          </a:r>
          <a:r>
            <a:rPr lang="en-IN"/>
            <a:t> If more than 10% of tickets are breaches, we lose the contract.</a:t>
          </a:r>
        </a:p>
        <a:p>
          <a:r>
            <a:rPr lang="en-IN" b="1"/>
            <a:t>Dataset:</a:t>
          </a:r>
          <a:r>
            <a:rPr lang="en-IN"/>
            <a:t> Open day8_capstone.csv.</a:t>
          </a:r>
        </a:p>
        <a:p>
          <a:endParaRPr lang="en-IN"/>
        </a:p>
        <a:p>
          <a:r>
            <a:rPr lang="en-IN" b="1"/>
            <a:t>Step 1: Establish the Baseline (Holiday Table)</a:t>
          </a:r>
        </a:p>
        <a:p>
          <a:r>
            <a:rPr lang="en-IN"/>
            <a:t>Before doing any math, identify the constraints.</a:t>
          </a:r>
        </a:p>
        <a:p>
          <a:r>
            <a:rPr lang="en-IN"/>
            <a:t>Scroll to the bottom/side of the sheet.</a:t>
          </a:r>
        </a:p>
        <a:p>
          <a:r>
            <a:rPr lang="en-IN"/>
            <a:t>Note the </a:t>
          </a:r>
          <a:r>
            <a:rPr lang="en-IN" b="1"/>
            <a:t>Holiday Table</a:t>
          </a:r>
          <a:r>
            <a:rPr lang="en-IN"/>
            <a:t> (Rows 18-21).</a:t>
          </a:r>
        </a:p>
        <a:p>
          <a:r>
            <a:rPr lang="en-IN" i="1"/>
            <a:t>Mental Check:</a:t>
          </a:r>
          <a:r>
            <a:rPr lang="en-IN"/>
            <a:t> Jan 1, Jan 15, and Feb 19 are "No Work" days.</a:t>
          </a:r>
        </a:p>
        <a:p>
          <a:endParaRPr lang="en-IN"/>
        </a:p>
        <a:p>
          <a:r>
            <a:rPr lang="en-IN" b="1"/>
            <a:t>Step 2: The Target (Calculate Deadline)</a:t>
          </a:r>
        </a:p>
        <a:p>
          <a:r>
            <a:rPr lang="en-IN" b="1"/>
            <a:t>Question:</a:t>
          </a:r>
          <a:r>
            <a:rPr lang="en-IN"/>
            <a:t> "Based on the Create Date, when was this </a:t>
          </a:r>
          <a:r>
            <a:rPr lang="en-IN" i="1"/>
            <a:t>supposed</a:t>
          </a:r>
          <a:r>
            <a:rPr lang="en-IN"/>
            <a:t> to be finished?"</a:t>
          </a:r>
        </a:p>
        <a:p>
          <a:r>
            <a:rPr lang="en-IN" b="1"/>
            <a:t>Create Column F:</a:t>
          </a:r>
          <a:r>
            <a:rPr lang="en-IN"/>
            <a:t> Header </a:t>
          </a:r>
          <a:r>
            <a:rPr lang="en-IN" b="1"/>
            <a:t>"SLA Deadline"</a:t>
          </a:r>
          <a:r>
            <a:rPr lang="en-IN"/>
            <a:t>.</a:t>
          </a:r>
        </a:p>
        <a:p>
          <a:r>
            <a:rPr lang="en-IN" b="1"/>
            <a:t>Check TKT-9003:</a:t>
          </a:r>
          <a:r>
            <a:rPr lang="en-IN"/>
            <a:t> Created Friday Jan 5. Deadline is Wed Jan 10. (Skips Sat/Sun).</a:t>
          </a:r>
        </a:p>
        <a:p>
          <a:endParaRPr lang="en-IN"/>
        </a:p>
        <a:p>
          <a:r>
            <a:rPr lang="en-IN" b="1"/>
            <a:t>Step 3: The Actuals (Time Taken)</a:t>
          </a:r>
        </a:p>
        <a:p>
          <a:r>
            <a:rPr lang="en-IN" b="1"/>
            <a:t>Question:</a:t>
          </a:r>
          <a:r>
            <a:rPr lang="en-IN"/>
            <a:t> "How many business days did we </a:t>
          </a:r>
          <a:r>
            <a:rPr lang="en-IN" i="1"/>
            <a:t>actually</a:t>
          </a:r>
          <a:r>
            <a:rPr lang="en-IN"/>
            <a:t> take?"</a:t>
          </a:r>
        </a:p>
        <a:p>
          <a:r>
            <a:rPr lang="en-IN" b="1"/>
            <a:t>Create Column G:</a:t>
          </a:r>
          <a:r>
            <a:rPr lang="en-IN"/>
            <a:t> Header </a:t>
          </a:r>
          <a:r>
            <a:rPr lang="en-IN" b="1"/>
            <a:t>"Days Taken"</a:t>
          </a:r>
          <a:r>
            <a:rPr lang="en-IN"/>
            <a:t>.</a:t>
          </a:r>
        </a:p>
        <a:p>
          <a:r>
            <a:rPr lang="en-IN" b="1"/>
            <a:t>Check TKT-9007:</a:t>
          </a:r>
          <a:endParaRPr lang="en-IN"/>
        </a:p>
        <a:p>
          <a:pPr lvl="1"/>
          <a:r>
            <a:rPr lang="en-IN"/>
            <a:t>Created: Friday Jan 12. Resolved: Wed Jan 17.</a:t>
          </a:r>
        </a:p>
        <a:p>
          <a:pPr lvl="1"/>
          <a:r>
            <a:rPr lang="en-IN"/>
            <a:t>Real Days: 5 days.</a:t>
          </a:r>
        </a:p>
        <a:p>
          <a:pPr lvl="1"/>
          <a:r>
            <a:rPr lang="en-IN"/>
            <a:t>Working Days Result: </a:t>
          </a:r>
          <a:r>
            <a:rPr lang="en-IN" b="1"/>
            <a:t>3</a:t>
          </a:r>
          <a:r>
            <a:rPr lang="en-IN"/>
            <a:t>. (Fri=1, Mon is MLK Holiday/Skip, Tue=2, Wed=3).</a:t>
          </a:r>
        </a:p>
        <a:p>
          <a:pPr lvl="1"/>
          <a:r>
            <a:rPr lang="en-IN" i="1"/>
            <a:t>Conclusion:</a:t>
          </a:r>
          <a:r>
            <a:rPr lang="en-IN"/>
            <a:t> This ticket is SAFE.</a:t>
          </a:r>
        </a:p>
        <a:p>
          <a:pPr lvl="1"/>
          <a:endParaRPr lang="en-IN"/>
        </a:p>
        <a:p>
          <a:r>
            <a:rPr lang="en-IN" b="1"/>
            <a:t>Step 4: The Logic (Status Flag)</a:t>
          </a:r>
        </a:p>
        <a:p>
          <a:r>
            <a:rPr lang="en-IN" b="1"/>
            <a:t>Question:</a:t>
          </a:r>
          <a:r>
            <a:rPr lang="en-IN"/>
            <a:t> "Did we fail?"</a:t>
          </a:r>
        </a:p>
        <a:p>
          <a:r>
            <a:rPr lang="en-IN" b="1"/>
            <a:t>Create Column H:</a:t>
          </a:r>
          <a:r>
            <a:rPr lang="en-IN"/>
            <a:t> Header </a:t>
          </a:r>
          <a:r>
            <a:rPr lang="en-IN" b="1"/>
            <a:t>"Status"</a:t>
          </a:r>
          <a:r>
            <a:rPr lang="en-IN"/>
            <a:t>.</a:t>
          </a:r>
        </a:p>
        <a:p>
          <a:r>
            <a:rPr lang="en-IN" b="1"/>
            <a:t>Logic:</a:t>
          </a:r>
          <a:r>
            <a:rPr lang="en-IN"/>
            <a:t> If the Resolve Date is </a:t>
          </a:r>
          <a:r>
            <a:rPr lang="en-IN" i="1"/>
            <a:t>after</a:t>
          </a:r>
          <a:r>
            <a:rPr lang="en-IN"/>
            <a:t> the Deadline, it's a Breach.</a:t>
          </a:r>
        </a:p>
        <a:p>
          <a:endParaRPr lang="en-IN"/>
        </a:p>
        <a:p>
          <a:r>
            <a:rPr lang="en-IN" b="1"/>
            <a:t>Step 5: The Alert (Conditional Formatting)</a:t>
          </a:r>
        </a:p>
        <a:p>
          <a:r>
            <a:rPr lang="en-IN" b="1"/>
            <a:t>Requirement:</a:t>
          </a:r>
          <a:r>
            <a:rPr lang="en-IN"/>
            <a:t> "I want to see Red immediately."</a:t>
          </a:r>
        </a:p>
        <a:p>
          <a:r>
            <a:rPr lang="en-IN"/>
            <a:t>Select the entire data table (A2:H16).</a:t>
          </a:r>
        </a:p>
        <a:p>
          <a:r>
            <a:rPr lang="en-IN"/>
            <a:t>Go to </a:t>
          </a:r>
          <a:r>
            <a:rPr lang="en-IN" b="1"/>
            <a:t>Home &gt; Conditional Formatting &gt; New Rule</a:t>
          </a:r>
          <a:r>
            <a:rPr lang="en-IN"/>
            <a:t>.</a:t>
          </a:r>
        </a:p>
        <a:p>
          <a:r>
            <a:rPr lang="en-IN"/>
            <a:t>Select </a:t>
          </a:r>
          <a:r>
            <a:rPr lang="en-IN" b="1"/>
            <a:t>"Use a formula to determine which cells to format"</a:t>
          </a:r>
          <a:r>
            <a:rPr lang="en-IN"/>
            <a:t>.</a:t>
          </a:r>
        </a:p>
        <a:p>
          <a:r>
            <a:rPr lang="en-IN" b="1"/>
            <a:t>Format:</a:t>
          </a:r>
          <a:r>
            <a:rPr lang="en-IN"/>
            <a:t> Fill Red, Font White/Bold.</a:t>
          </a:r>
        </a:p>
        <a:p>
          <a:endParaRPr lang="en-IN"/>
        </a:p>
        <a:p>
          <a:r>
            <a:rPr lang="en-IN" b="1"/>
            <a:t>Step 6: The Billing (Text Conversion)</a:t>
          </a:r>
        </a:p>
        <a:p>
          <a:r>
            <a:rPr lang="en-IN" b="1"/>
            <a:t>Requirement:</a:t>
          </a:r>
          <a:r>
            <a:rPr lang="en-IN"/>
            <a:t> Group tickets by Billing Month.</a:t>
          </a:r>
        </a:p>
        <a:p>
          <a:r>
            <a:rPr lang="en-IN" b="1"/>
            <a:t>Create Column I:</a:t>
          </a:r>
          <a:r>
            <a:rPr lang="en-IN"/>
            <a:t> Header </a:t>
          </a:r>
          <a:r>
            <a:rPr lang="en-IN" b="1"/>
            <a:t>"Billing Month"</a:t>
          </a:r>
          <a:r>
            <a:rPr lang="en-IN"/>
            <a:t>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EAE8-85C2-4208-B290-F1B65F1459DD}">
  <dimension ref="A1:J22"/>
  <sheetViews>
    <sheetView tabSelected="1" workbookViewId="0">
      <selection activeCell="J19" sqref="J19"/>
    </sheetView>
  </sheetViews>
  <sheetFormatPr defaultRowHeight="14.4" x14ac:dyDescent="0.3"/>
  <cols>
    <col min="1" max="1" width="13.33203125" bestFit="1" customWidth="1"/>
    <col min="2" max="2" width="11.44140625" bestFit="1" customWidth="1"/>
    <col min="3" max="3" width="12" bestFit="1" customWidth="1"/>
    <col min="4" max="4" width="7.6640625" bestFit="1" customWidth="1"/>
    <col min="5" max="5" width="10.5546875" bestFit="1" customWidth="1"/>
    <col min="6" max="6" width="13" style="9" bestFit="1" customWidth="1"/>
    <col min="7" max="7" width="11.33203125" bestFit="1" customWidth="1"/>
    <col min="9" max="9" width="13" bestFit="1" customWidth="1"/>
  </cols>
  <sheetData>
    <row r="1" spans="1:10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8" t="s">
        <v>33</v>
      </c>
      <c r="G1" s="5" t="s">
        <v>34</v>
      </c>
      <c r="H1" s="3" t="s">
        <v>35</v>
      </c>
      <c r="I1" s="5" t="s">
        <v>40</v>
      </c>
    </row>
    <row r="2" spans="1:10" x14ac:dyDescent="0.3">
      <c r="A2" s="2" t="s">
        <v>7</v>
      </c>
      <c r="B2" s="4">
        <v>45292</v>
      </c>
      <c r="C2" s="4">
        <v>45295</v>
      </c>
      <c r="D2" s="2" t="s">
        <v>8</v>
      </c>
      <c r="E2" s="2" t="s">
        <v>9</v>
      </c>
      <c r="F2" s="4">
        <f>WORKDAY(B2, IF(D2="High",3, IF(D2="Medium",4, 5)),$B$20:$B$22)</f>
        <v>45295</v>
      </c>
      <c r="G2" s="2">
        <f>NETWORKDAYS(B2, C2,$B$20:$B$22)</f>
        <v>3</v>
      </c>
      <c r="H2" s="2" t="str">
        <f>IF(G2 &gt;
   IF(D2="High",3,IF(D2="Medium",4,5)),
   "Breach","Safe")</f>
        <v>Safe</v>
      </c>
      <c r="I2" s="6" t="str">
        <f>TEXT(C2,"MMM-YYYY")</f>
        <v>Jan-2024</v>
      </c>
    </row>
    <row r="3" spans="1:10" x14ac:dyDescent="0.3">
      <c r="A3" s="2" t="s">
        <v>10</v>
      </c>
      <c r="B3" s="4">
        <v>45293</v>
      </c>
      <c r="C3" s="4">
        <v>45295</v>
      </c>
      <c r="D3" s="2" t="s">
        <v>11</v>
      </c>
      <c r="E3" s="2" t="s">
        <v>12</v>
      </c>
      <c r="F3" s="4">
        <f t="shared" ref="F3:F16" si="0">WORKDAY(B3, IF(D3="High",3, IF(D3="Medium",4, 5)),$B$20:$B$22)</f>
        <v>45300</v>
      </c>
      <c r="G3" s="2">
        <f t="shared" ref="G3:G16" si="1">NETWORKDAYS(B3, C3,$B$20:$B$22)</f>
        <v>3</v>
      </c>
      <c r="H3" s="2" t="str">
        <f t="shared" ref="H3:H5" si="2">IF(G3 &gt;
   IF(D3="High",3,IF(D3="Medium",4,5)),
   "Breach","Safe")</f>
        <v>Safe</v>
      </c>
      <c r="I3" s="6" t="str">
        <f t="shared" ref="I3:I16" si="3">TEXT(C3,"MMM-YYYY")</f>
        <v>Jan-2024</v>
      </c>
    </row>
    <row r="4" spans="1:10" x14ac:dyDescent="0.3">
      <c r="A4" s="2" t="s">
        <v>13</v>
      </c>
      <c r="B4" s="4">
        <v>45296</v>
      </c>
      <c r="C4" s="4">
        <v>45300</v>
      </c>
      <c r="D4" s="2" t="s">
        <v>8</v>
      </c>
      <c r="E4" s="2" t="s">
        <v>9</v>
      </c>
      <c r="F4" s="4">
        <f t="shared" si="0"/>
        <v>45301</v>
      </c>
      <c r="G4" s="2">
        <f t="shared" si="1"/>
        <v>3</v>
      </c>
      <c r="H4" s="2" t="str">
        <f t="shared" si="2"/>
        <v>Safe</v>
      </c>
      <c r="I4" s="6" t="str">
        <f t="shared" si="3"/>
        <v>Jan-2024</v>
      </c>
    </row>
    <row r="5" spans="1:10" x14ac:dyDescent="0.3">
      <c r="A5" s="2" t="s">
        <v>14</v>
      </c>
      <c r="B5" s="4">
        <v>45296</v>
      </c>
      <c r="C5" s="4">
        <v>45302</v>
      </c>
      <c r="D5" s="2" t="s">
        <v>8</v>
      </c>
      <c r="E5" s="2" t="s">
        <v>15</v>
      </c>
      <c r="F5" s="4">
        <f t="shared" si="0"/>
        <v>45301</v>
      </c>
      <c r="G5" s="2">
        <f t="shared" si="1"/>
        <v>5</v>
      </c>
      <c r="H5" s="2" t="str">
        <f t="shared" si="2"/>
        <v>Breach</v>
      </c>
      <c r="I5" s="6" t="str">
        <f t="shared" si="3"/>
        <v>Jan-2024</v>
      </c>
      <c r="J5" s="7"/>
    </row>
    <row r="6" spans="1:10" x14ac:dyDescent="0.3">
      <c r="A6" s="2" t="s">
        <v>16</v>
      </c>
      <c r="B6" s="4">
        <v>45299</v>
      </c>
      <c r="C6" s="4">
        <v>45301</v>
      </c>
      <c r="D6" s="2" t="s">
        <v>11</v>
      </c>
      <c r="E6" s="2" t="s">
        <v>12</v>
      </c>
      <c r="F6" s="4">
        <f t="shared" si="0"/>
        <v>45307</v>
      </c>
      <c r="G6" s="2">
        <f t="shared" si="1"/>
        <v>3</v>
      </c>
      <c r="H6" s="2" t="str">
        <f t="shared" ref="H6:H16" si="4">IF(G6 &gt;
   IF(D6="High",3,IF(D6="Medium",4,5)),
   "Breach","Safe")</f>
        <v>Safe</v>
      </c>
      <c r="I6" s="6" t="str">
        <f t="shared" si="3"/>
        <v>Jan-2024</v>
      </c>
    </row>
    <row r="7" spans="1:10" x14ac:dyDescent="0.3">
      <c r="A7" s="2" t="s">
        <v>17</v>
      </c>
      <c r="B7" s="4">
        <v>45303</v>
      </c>
      <c r="C7" s="4">
        <v>45307</v>
      </c>
      <c r="D7" s="2" t="s">
        <v>8</v>
      </c>
      <c r="E7" s="2" t="s">
        <v>9</v>
      </c>
      <c r="F7" s="4">
        <f t="shared" si="0"/>
        <v>45309</v>
      </c>
      <c r="G7" s="2">
        <f t="shared" si="1"/>
        <v>2</v>
      </c>
      <c r="H7" s="2" t="str">
        <f t="shared" si="4"/>
        <v>Safe</v>
      </c>
      <c r="I7" s="6" t="str">
        <f t="shared" si="3"/>
        <v>Jan-2024</v>
      </c>
    </row>
    <row r="8" spans="1:10" x14ac:dyDescent="0.3">
      <c r="A8" s="2" t="s">
        <v>18</v>
      </c>
      <c r="B8" s="4">
        <v>45303</v>
      </c>
      <c r="C8" s="4">
        <v>45308</v>
      </c>
      <c r="D8" s="2" t="s">
        <v>19</v>
      </c>
      <c r="E8" s="2" t="s">
        <v>15</v>
      </c>
      <c r="F8" s="4">
        <f t="shared" si="0"/>
        <v>45310</v>
      </c>
      <c r="G8" s="2">
        <f t="shared" si="1"/>
        <v>3</v>
      </c>
      <c r="H8" s="2" t="str">
        <f t="shared" si="4"/>
        <v>Safe</v>
      </c>
      <c r="I8" s="6" t="str">
        <f t="shared" si="3"/>
        <v>Jan-2024</v>
      </c>
    </row>
    <row r="9" spans="1:10" x14ac:dyDescent="0.3">
      <c r="A9" s="2" t="s">
        <v>20</v>
      </c>
      <c r="B9" s="4">
        <v>45306</v>
      </c>
      <c r="C9" s="4">
        <v>45309</v>
      </c>
      <c r="D9" s="2" t="s">
        <v>11</v>
      </c>
      <c r="E9" s="2" t="s">
        <v>12</v>
      </c>
      <c r="F9" s="4">
        <f t="shared" si="0"/>
        <v>45313</v>
      </c>
      <c r="G9" s="2">
        <f t="shared" si="1"/>
        <v>3</v>
      </c>
      <c r="H9" s="2" t="str">
        <f t="shared" si="4"/>
        <v>Safe</v>
      </c>
      <c r="I9" s="6" t="str">
        <f t="shared" si="3"/>
        <v>Jan-2024</v>
      </c>
    </row>
    <row r="10" spans="1:10" x14ac:dyDescent="0.3">
      <c r="A10" s="2" t="s">
        <v>21</v>
      </c>
      <c r="B10" s="4">
        <v>45310</v>
      </c>
      <c r="C10" s="4">
        <v>45314</v>
      </c>
      <c r="D10" s="2" t="s">
        <v>8</v>
      </c>
      <c r="E10" s="2" t="s">
        <v>9</v>
      </c>
      <c r="F10" s="4">
        <f t="shared" si="0"/>
        <v>45315</v>
      </c>
      <c r="G10" s="2">
        <f t="shared" si="1"/>
        <v>3</v>
      </c>
      <c r="H10" s="2" t="str">
        <f t="shared" si="4"/>
        <v>Safe</v>
      </c>
      <c r="I10" s="6" t="str">
        <f t="shared" si="3"/>
        <v>Jan-2024</v>
      </c>
    </row>
    <row r="11" spans="1:10" x14ac:dyDescent="0.3">
      <c r="A11" s="2" t="s">
        <v>22</v>
      </c>
      <c r="B11" s="4">
        <v>45313</v>
      </c>
      <c r="C11" s="4">
        <v>45317</v>
      </c>
      <c r="D11" s="2" t="s">
        <v>19</v>
      </c>
      <c r="E11" s="2" t="s">
        <v>15</v>
      </c>
      <c r="F11" s="4">
        <f t="shared" si="0"/>
        <v>45317</v>
      </c>
      <c r="G11" s="2">
        <f t="shared" si="1"/>
        <v>5</v>
      </c>
      <c r="H11" s="2" t="str">
        <f t="shared" si="4"/>
        <v>Breach</v>
      </c>
      <c r="I11" s="6" t="str">
        <f t="shared" si="3"/>
        <v>Jan-2024</v>
      </c>
    </row>
    <row r="12" spans="1:10" x14ac:dyDescent="0.3">
      <c r="A12" s="2" t="s">
        <v>23</v>
      </c>
      <c r="B12" s="4">
        <v>45317</v>
      </c>
      <c r="C12" s="4">
        <v>45322</v>
      </c>
      <c r="D12" s="2" t="s">
        <v>8</v>
      </c>
      <c r="E12" s="2" t="s">
        <v>9</v>
      </c>
      <c r="F12" s="4">
        <f t="shared" si="0"/>
        <v>45322</v>
      </c>
      <c r="G12" s="2">
        <f t="shared" si="1"/>
        <v>4</v>
      </c>
      <c r="H12" s="2" t="str">
        <f t="shared" si="4"/>
        <v>Breach</v>
      </c>
      <c r="I12" s="6" t="str">
        <f t="shared" si="3"/>
        <v>Jan-2024</v>
      </c>
    </row>
    <row r="13" spans="1:10" x14ac:dyDescent="0.3">
      <c r="A13" s="2" t="s">
        <v>24</v>
      </c>
      <c r="B13" s="4">
        <v>45320</v>
      </c>
      <c r="C13" s="4">
        <v>45323</v>
      </c>
      <c r="D13" s="2" t="s">
        <v>11</v>
      </c>
      <c r="E13" s="2" t="s">
        <v>12</v>
      </c>
      <c r="F13" s="4">
        <f t="shared" si="0"/>
        <v>45327</v>
      </c>
      <c r="G13" s="2">
        <f t="shared" si="1"/>
        <v>4</v>
      </c>
      <c r="H13" s="2" t="str">
        <f t="shared" si="4"/>
        <v>Safe</v>
      </c>
      <c r="I13" s="6" t="str">
        <f t="shared" si="3"/>
        <v>Feb-2024</v>
      </c>
    </row>
    <row r="14" spans="1:10" x14ac:dyDescent="0.3">
      <c r="A14" s="2" t="s">
        <v>25</v>
      </c>
      <c r="B14" s="4">
        <v>45324</v>
      </c>
      <c r="C14" s="4">
        <v>45328</v>
      </c>
      <c r="D14" s="2" t="s">
        <v>8</v>
      </c>
      <c r="E14" s="2" t="s">
        <v>15</v>
      </c>
      <c r="F14" s="4">
        <f t="shared" si="0"/>
        <v>45329</v>
      </c>
      <c r="G14" s="2">
        <f t="shared" si="1"/>
        <v>3</v>
      </c>
      <c r="H14" s="2" t="str">
        <f t="shared" si="4"/>
        <v>Safe</v>
      </c>
      <c r="I14" s="6" t="str">
        <f t="shared" si="3"/>
        <v>Feb-2024</v>
      </c>
    </row>
    <row r="15" spans="1:10" x14ac:dyDescent="0.3">
      <c r="A15" s="2" t="s">
        <v>26</v>
      </c>
      <c r="B15" s="4">
        <v>45331</v>
      </c>
      <c r="C15" s="4">
        <v>45336</v>
      </c>
      <c r="D15" s="2" t="s">
        <v>19</v>
      </c>
      <c r="E15" s="2" t="s">
        <v>9</v>
      </c>
      <c r="F15" s="4">
        <f t="shared" si="0"/>
        <v>45337</v>
      </c>
      <c r="G15" s="2">
        <f t="shared" si="1"/>
        <v>4</v>
      </c>
      <c r="H15" s="2" t="str">
        <f t="shared" si="4"/>
        <v>Safe</v>
      </c>
      <c r="I15" s="6" t="str">
        <f t="shared" si="3"/>
        <v>Feb-2024</v>
      </c>
    </row>
    <row r="16" spans="1:10" x14ac:dyDescent="0.3">
      <c r="A16" s="2" t="s">
        <v>27</v>
      </c>
      <c r="B16" s="4">
        <v>45338</v>
      </c>
      <c r="C16" s="4">
        <v>45341</v>
      </c>
      <c r="D16" s="2" t="s">
        <v>11</v>
      </c>
      <c r="E16" s="2" t="s">
        <v>12</v>
      </c>
      <c r="F16" s="4">
        <f t="shared" si="0"/>
        <v>45348</v>
      </c>
      <c r="G16" s="2">
        <f t="shared" si="1"/>
        <v>1</v>
      </c>
      <c r="H16" s="2" t="str">
        <f t="shared" si="4"/>
        <v>Safe</v>
      </c>
      <c r="I16" s="6" t="str">
        <f t="shared" si="3"/>
        <v>Feb-2024</v>
      </c>
    </row>
    <row r="17" spans="1:2" x14ac:dyDescent="0.3">
      <c r="A17" t="s">
        <v>0</v>
      </c>
    </row>
    <row r="18" spans="1:2" x14ac:dyDescent="0.3">
      <c r="A18" t="s">
        <v>1</v>
      </c>
    </row>
    <row r="19" spans="1:2" x14ac:dyDescent="0.3">
      <c r="A19" s="1" t="s">
        <v>28</v>
      </c>
      <c r="B19" s="1" t="s">
        <v>29</v>
      </c>
    </row>
    <row r="20" spans="1:2" x14ac:dyDescent="0.3">
      <c r="A20" s="2" t="s">
        <v>30</v>
      </c>
      <c r="B20" s="4">
        <v>45292</v>
      </c>
    </row>
    <row r="21" spans="1:2" x14ac:dyDescent="0.3">
      <c r="A21" s="2" t="s">
        <v>31</v>
      </c>
      <c r="B21" s="4">
        <v>45306</v>
      </c>
    </row>
    <row r="22" spans="1:2" x14ac:dyDescent="0.3">
      <c r="A22" s="2" t="s">
        <v>32</v>
      </c>
      <c r="B22" s="4">
        <v>45341</v>
      </c>
    </row>
  </sheetData>
  <conditionalFormatting sqref="A2:I16">
    <cfRule type="expression" dxfId="1" priority="1">
      <formula>$H2="Breach"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2025-12-06T04:24:45Z</dcterms:created>
  <dcterms:modified xsi:type="dcterms:W3CDTF">2025-12-14T06:52:37Z</dcterms:modified>
</cp:coreProperties>
</file>